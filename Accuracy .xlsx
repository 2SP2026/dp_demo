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Work\EchoOne\DP event\"/>
    </mc:Choice>
  </mc:AlternateContent>
  <xr:revisionPtr revIDLastSave="0" documentId="13_ncr:1_{3CBD047D-51A3-4D17-9FFE-9CEBFF08F8EF}" xr6:coauthVersionLast="47" xr6:coauthVersionMax="47" xr10:uidLastSave="{00000000-0000-0000-0000-000000000000}"/>
  <bookViews>
    <workbookView xWindow="38292" yWindow="6564" windowWidth="30936" windowHeight="16776" activeTab="2" xr2:uid="{94903416-ED08-4C4E-97DA-B69BD972FDA3}"/>
  </bookViews>
  <sheets>
    <sheet name="Marietta Demo" sheetId="1" r:id="rId1"/>
    <sheet name="Sheet1" sheetId="2" r:id="rId2"/>
    <sheet name="BasicCom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3" l="1"/>
  <c r="O32" i="3"/>
  <c r="N33" i="3"/>
  <c r="O33" i="3"/>
  <c r="N34" i="3"/>
  <c r="O34" i="3"/>
  <c r="N35" i="3"/>
  <c r="O35" i="3"/>
  <c r="N36" i="3"/>
  <c r="O36" i="3"/>
  <c r="M36" i="3"/>
  <c r="M33" i="3"/>
  <c r="M32" i="3"/>
  <c r="M35" i="3"/>
  <c r="M34" i="3"/>
  <c r="N23" i="3"/>
  <c r="O23" i="3"/>
  <c r="N24" i="3"/>
  <c r="O24" i="3"/>
  <c r="N25" i="3"/>
  <c r="O25" i="3"/>
  <c r="N26" i="3"/>
  <c r="O26" i="3"/>
  <c r="N27" i="3"/>
  <c r="O27" i="3"/>
  <c r="N28" i="3"/>
  <c r="O28" i="3"/>
  <c r="N29" i="3"/>
  <c r="O29" i="3"/>
  <c r="N30" i="3"/>
  <c r="O30" i="3"/>
  <c r="N22" i="3"/>
  <c r="O22" i="3"/>
  <c r="M23" i="3"/>
  <c r="M24" i="3"/>
  <c r="M25" i="3"/>
  <c r="M26" i="3"/>
  <c r="M27" i="3"/>
  <c r="M28" i="3"/>
  <c r="M29" i="3"/>
  <c r="M30" i="3"/>
  <c r="M22" i="3"/>
  <c r="M17" i="3"/>
  <c r="M13" i="3"/>
  <c r="N13" i="3"/>
  <c r="O13" i="3"/>
  <c r="M14" i="3"/>
  <c r="N14" i="3"/>
  <c r="O14" i="3"/>
  <c r="M15" i="3"/>
  <c r="N15" i="3"/>
  <c r="O15" i="3"/>
  <c r="M16" i="3"/>
  <c r="N16" i="3"/>
  <c r="N17" i="3" s="1"/>
  <c r="O16" i="3"/>
  <c r="O17" i="3"/>
  <c r="M4" i="3"/>
  <c r="N4" i="3"/>
  <c r="O4" i="3"/>
  <c r="M5" i="3"/>
  <c r="N5" i="3"/>
  <c r="O5" i="3"/>
  <c r="M6" i="3"/>
  <c r="N6" i="3"/>
  <c r="O6" i="3"/>
  <c r="M7" i="3"/>
  <c r="N7" i="3"/>
  <c r="O7" i="3"/>
  <c r="M8" i="3"/>
  <c r="N8" i="3"/>
  <c r="O8" i="3"/>
  <c r="M9" i="3"/>
  <c r="N9" i="3"/>
  <c r="O9" i="3"/>
  <c r="M10" i="3"/>
  <c r="N10" i="3"/>
  <c r="O10" i="3"/>
  <c r="M11" i="3"/>
  <c r="N11" i="3"/>
  <c r="O11" i="3"/>
  <c r="O3" i="3"/>
  <c r="N3" i="3"/>
  <c r="M3" i="3"/>
  <c r="H13" i="3"/>
  <c r="J13" i="3"/>
  <c r="H14" i="3"/>
  <c r="J14" i="3"/>
  <c r="H15" i="3"/>
  <c r="J15" i="3"/>
  <c r="H16" i="3"/>
  <c r="H17" i="3" s="1"/>
  <c r="J16" i="3"/>
  <c r="J17" i="3" s="1"/>
  <c r="F17" i="3"/>
  <c r="F16" i="3"/>
  <c r="F15" i="3"/>
  <c r="F14" i="3"/>
  <c r="F13" i="3"/>
  <c r="I14" i="2"/>
  <c r="J14" i="2"/>
  <c r="K14" i="2"/>
  <c r="L14" i="2"/>
  <c r="I15" i="2"/>
  <c r="I16" i="2" s="1"/>
  <c r="J15" i="2"/>
  <c r="J16" i="2" s="1"/>
  <c r="K15" i="2"/>
  <c r="K16" i="2" s="1"/>
  <c r="L15" i="2"/>
  <c r="L16" i="2" s="1"/>
  <c r="M15" i="2"/>
  <c r="H15" i="2"/>
  <c r="H16" i="2" s="1"/>
  <c r="H14" i="2"/>
  <c r="I13" i="2"/>
  <c r="J13" i="2"/>
  <c r="K13" i="2"/>
  <c r="L13" i="2"/>
  <c r="M13" i="2"/>
  <c r="H13" i="2"/>
  <c r="I12" i="2"/>
  <c r="J12" i="2"/>
  <c r="K12" i="2"/>
  <c r="L12" i="2"/>
  <c r="M12" i="2"/>
  <c r="H12" i="2"/>
  <c r="M6" i="2"/>
  <c r="M14" i="2" s="1"/>
  <c r="L6" i="2"/>
  <c r="K6" i="2"/>
  <c r="K4" i="2"/>
  <c r="M4" i="2"/>
  <c r="L4" i="2"/>
  <c r="L3" i="2"/>
  <c r="L2" i="2"/>
  <c r="K3" i="2"/>
  <c r="M3" i="2"/>
  <c r="K5" i="2"/>
  <c r="L5" i="2"/>
  <c r="M5" i="2"/>
  <c r="K7" i="2"/>
  <c r="L7" i="2"/>
  <c r="M7" i="2"/>
  <c r="K8" i="2"/>
  <c r="L8" i="2"/>
  <c r="M8" i="2"/>
  <c r="K9" i="2"/>
  <c r="L9" i="2"/>
  <c r="M9" i="2"/>
  <c r="K10" i="2"/>
  <c r="L10" i="2"/>
  <c r="M10" i="2"/>
  <c r="M2" i="2"/>
  <c r="K2" i="2"/>
  <c r="M16" i="2" l="1"/>
</calcChain>
</file>

<file path=xl/sharedStrings.xml><?xml version="1.0" encoding="utf-8"?>
<sst xmlns="http://schemas.openxmlformats.org/spreadsheetml/2006/main" count="88" uniqueCount="43">
  <si>
    <t>ID</t>
  </si>
  <si>
    <t>X</t>
  </si>
  <si>
    <t>Y</t>
  </si>
  <si>
    <t>Z</t>
  </si>
  <si>
    <t>Type</t>
  </si>
  <si>
    <t>PRS972491274941</t>
  </si>
  <si>
    <t>Exclude</t>
  </si>
  <si>
    <t>BASE</t>
  </si>
  <si>
    <t>GCP</t>
  </si>
  <si>
    <t>CHECK</t>
  </si>
  <si>
    <t>W_Z</t>
  </si>
  <si>
    <t>W_Dz</t>
  </si>
  <si>
    <t>S_Z</t>
  </si>
  <si>
    <t>S_Dz</t>
  </si>
  <si>
    <t>L_Z</t>
  </si>
  <si>
    <t>L_Dz</t>
  </si>
  <si>
    <t>W-S_Dz</t>
  </si>
  <si>
    <t>W-L_Dz</t>
  </si>
  <si>
    <t>S-L_Dz</t>
  </si>
  <si>
    <t>Average</t>
  </si>
  <si>
    <t>Std</t>
  </si>
  <si>
    <t>Min</t>
  </si>
  <si>
    <t>Max</t>
  </si>
  <si>
    <t>Spread</t>
  </si>
  <si>
    <t>Notations</t>
  </si>
  <si>
    <t>W</t>
  </si>
  <si>
    <t>S</t>
  </si>
  <si>
    <t>L</t>
  </si>
  <si>
    <t>Reference</t>
  </si>
  <si>
    <t>Wingtra Lidar processed by Shwetabh</t>
  </si>
  <si>
    <t>E1 processed by Shwetabh</t>
  </si>
  <si>
    <t>Leo processed upon E1 by Shwetabh</t>
  </si>
  <si>
    <t>T_Z</t>
  </si>
  <si>
    <t>Dz</t>
  </si>
  <si>
    <t>Ref</t>
  </si>
  <si>
    <t>RO</t>
  </si>
  <si>
    <t>Dz-Ref</t>
  </si>
  <si>
    <t>Dz-RO</t>
  </si>
  <si>
    <t>RONF</t>
  </si>
  <si>
    <t>Dz-RONF</t>
  </si>
  <si>
    <t>Stats</t>
  </si>
  <si>
    <t>Raw</t>
  </si>
  <si>
    <t>Debiased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</si>
</sst>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/>
    <xf numFmtId="0" fontId="16" fillId="33" borderId="0" xfId="0" applyFont="1" applyFill="1"/>
    <xf numFmtId="0" fontId="16" fillId="34" borderId="0" xfId="0" applyFont="1" applyFill="1"/>
    <xf numFmtId="0" fontId="0" fillId="34" borderId="0" xfId="0" applyFill="1"/>
    <xf numFmtId="0" fontId="18" fillId="34" borderId="0" xfId="0" applyFont="1" applyFill="1"/>
    <xf numFmtId="0" fontId="19" fillId="34" borderId="0" xfId="0" applyFont="1" applyFill="1"/>
    <xf numFmtId="0" fontId="16" fillId="35" borderId="10" xfId="0" applyFont="1" applyFill="1" applyBorder="1"/>
    <xf numFmtId="0" fontId="16" fillId="35" borderId="11" xfId="0" applyFont="1" applyFill="1" applyBorder="1"/>
    <xf numFmtId="0" fontId="16" fillId="35" borderId="11" xfId="0" applyFont="1" applyFill="1" applyBorder="1" applyAlignment="1">
      <alignment horizontal="center"/>
    </xf>
    <xf numFmtId="0" fontId="16" fillId="35" borderId="13" xfId="0" applyFont="1" applyFill="1" applyBorder="1" applyAlignment="1">
      <alignment horizontal="center"/>
    </xf>
    <xf numFmtId="0" fontId="16" fillId="35" borderId="12" xfId="0" applyFont="1" applyFill="1" applyBorder="1"/>
    <xf numFmtId="0" fontId="16" fillId="35" borderId="14" xfId="0" applyFont="1" applyFill="1" applyBorder="1" applyAlignment="1">
      <alignment horizontal="center"/>
    </xf>
    <xf numFmtId="0" fontId="16" fillId="35" borderId="15" xfId="0" applyFont="1" applyFill="1" applyBorder="1"/>
    <xf numFmtId="2" fontId="0" fillId="0" borderId="0" xfId="0" applyNumberFormat="1"/>
    <xf numFmtId="2" fontId="16" fillId="0" borderId="0" xfId="0" applyNumberFormat="1" applyFont="1"/>
    <xf numFmtId="0" fontId="20" fillId="35" borderId="0" xfId="0" applyFont="1" applyFill="1" applyAlignment="1">
      <alignment horizontal="center" vertical="center" textRotation="255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W_Dz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Sheet1!$H$2:$H$10</c:f>
              <c:numCache>
                <c:formatCode>General</c:formatCode>
                <c:ptCount val="9"/>
                <c:pt idx="0">
                  <c:v>0.35799999999999998</c:v>
                </c:pt>
                <c:pt idx="1">
                  <c:v>0.69899999999999995</c:v>
                </c:pt>
                <c:pt idx="2">
                  <c:v>0.621</c:v>
                </c:pt>
                <c:pt idx="3">
                  <c:v>0.66300000000000003</c:v>
                </c:pt>
                <c:pt idx="4">
                  <c:v>0.70699999999999996</c:v>
                </c:pt>
                <c:pt idx="5">
                  <c:v>1.004</c:v>
                </c:pt>
                <c:pt idx="6">
                  <c:v>0.66300000000000003</c:v>
                </c:pt>
                <c:pt idx="7">
                  <c:v>0.86399999999999999</c:v>
                </c:pt>
                <c:pt idx="8">
                  <c:v>0.78100000000000003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A-4C22-86C8-40576A7C78CE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S_Dz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Sheet1!$I$2:$I$10</c:f>
              <c:numCache>
                <c:formatCode>General</c:formatCode>
                <c:ptCount val="9"/>
                <c:pt idx="0">
                  <c:v>-2.2999999999999998</c:v>
                </c:pt>
                <c:pt idx="1">
                  <c:v>-1.905</c:v>
                </c:pt>
                <c:pt idx="2">
                  <c:v>-2.1389999999999998</c:v>
                </c:pt>
                <c:pt idx="3">
                  <c:v>-2.0910000000000002</c:v>
                </c:pt>
                <c:pt idx="4">
                  <c:v>-2.048</c:v>
                </c:pt>
                <c:pt idx="5">
                  <c:v>-1.7050000000000001</c:v>
                </c:pt>
                <c:pt idx="6">
                  <c:v>-2.0550000000000002</c:v>
                </c:pt>
                <c:pt idx="7">
                  <c:v>-1.7949999999999999</c:v>
                </c:pt>
                <c:pt idx="8">
                  <c:v>-1.8879999999999999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AA-4C22-86C8-40576A7C78CE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L_Dz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Sheet1!$J$2:$J$10</c:f>
              <c:numCache>
                <c:formatCode>General</c:formatCode>
                <c:ptCount val="9"/>
                <c:pt idx="0">
                  <c:v>-2.2589999999999999</c:v>
                </c:pt>
                <c:pt idx="1">
                  <c:v>-2.0179999999999998</c:v>
                </c:pt>
                <c:pt idx="2">
                  <c:v>-2.1110000000000002</c:v>
                </c:pt>
                <c:pt idx="3">
                  <c:v>-2.0190000000000001</c:v>
                </c:pt>
                <c:pt idx="4">
                  <c:v>-2.0219999999999998</c:v>
                </c:pt>
                <c:pt idx="5">
                  <c:v>-1.7070000000000001</c:v>
                </c:pt>
                <c:pt idx="6">
                  <c:v>-2.0270000000000001</c:v>
                </c:pt>
                <c:pt idx="7">
                  <c:v>-1.794</c:v>
                </c:pt>
                <c:pt idx="8">
                  <c:v>-1.871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AA-4C22-86C8-40576A7C78CE}"/>
            </c:ext>
          </c:extLst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W-S_Dz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Sheet1!$K$2:$K$10</c:f>
              <c:numCache>
                <c:formatCode>General</c:formatCode>
                <c:ptCount val="9"/>
                <c:pt idx="0">
                  <c:v>2.6580000000001291</c:v>
                </c:pt>
                <c:pt idx="1">
                  <c:v>2.6040000000000418</c:v>
                </c:pt>
                <c:pt idx="2">
                  <c:v>2.7599999999999909</c:v>
                </c:pt>
                <c:pt idx="3">
                  <c:v>2.7539999999999054</c:v>
                </c:pt>
                <c:pt idx="4">
                  <c:v>2.7549999999998818</c:v>
                </c:pt>
                <c:pt idx="5">
                  <c:v>2.70900000000006</c:v>
                </c:pt>
                <c:pt idx="6">
                  <c:v>2.7180000000000746</c:v>
                </c:pt>
                <c:pt idx="7">
                  <c:v>2.6590000000001055</c:v>
                </c:pt>
                <c:pt idx="8">
                  <c:v>2.6690000000000964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AA-4C22-86C8-40576A7C78CE}"/>
            </c:ext>
          </c:extLst>
        </c:ser>
        <c:ser>
          <c:idx val="4"/>
          <c:order val="4"/>
          <c:tx>
            <c:strRef>
              <c:f>Sheet1!$L$1</c:f>
              <c:strCache>
                <c:ptCount val="1"/>
                <c:pt idx="0">
                  <c:v>W-L_Dz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Sheet1!$L$2:$L$10</c:f>
              <c:numCache>
                <c:formatCode>General</c:formatCode>
                <c:ptCount val="9"/>
                <c:pt idx="0">
                  <c:v>2.6169999999999618</c:v>
                </c:pt>
                <c:pt idx="1">
                  <c:v>2.7170000000000982</c:v>
                </c:pt>
                <c:pt idx="2">
                  <c:v>2.7329999999999472</c:v>
                </c:pt>
                <c:pt idx="3">
                  <c:v>2.681999999999789</c:v>
                </c:pt>
                <c:pt idx="4">
                  <c:v>2.7290000000000418</c:v>
                </c:pt>
                <c:pt idx="5">
                  <c:v>2.7110000000000127</c:v>
                </c:pt>
                <c:pt idx="6">
                  <c:v>2.6900000000000546</c:v>
                </c:pt>
                <c:pt idx="7">
                  <c:v>2.6570000000001528</c:v>
                </c:pt>
                <c:pt idx="8">
                  <c:v>2.6520000000000437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AA-4C22-86C8-40576A7C78CE}"/>
            </c:ext>
          </c:extLst>
        </c:ser>
        <c:ser>
          <c:idx val="5"/>
          <c:order val="5"/>
          <c:tx>
            <c:strRef>
              <c:f>Sheet1!$M$1</c:f>
              <c:strCache>
                <c:ptCount val="1"/>
                <c:pt idx="0">
                  <c:v>S-L_Dz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Sheet1!$M$2:$M$10</c:f>
              <c:numCache>
                <c:formatCode>General</c:formatCode>
                <c:ptCount val="9"/>
                <c:pt idx="0">
                  <c:v>-4.1000000000167347E-2</c:v>
                </c:pt>
                <c:pt idx="1">
                  <c:v>0.11300000000005639</c:v>
                </c:pt>
                <c:pt idx="2">
                  <c:v>-2.7000000000043656E-2</c:v>
                </c:pt>
                <c:pt idx="3">
                  <c:v>-7.2000000000116415E-2</c:v>
                </c:pt>
                <c:pt idx="4">
                  <c:v>-2.5999999999839929E-2</c:v>
                </c:pt>
                <c:pt idx="5">
                  <c:v>1.9999999999527063E-3</c:v>
                </c:pt>
                <c:pt idx="6">
                  <c:v>-2.8000000000020009E-2</c:v>
                </c:pt>
                <c:pt idx="7">
                  <c:v>-1.9999999999527063E-3</c:v>
                </c:pt>
                <c:pt idx="8">
                  <c:v>-1.7000000000052751E-2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AA-4C22-86C8-40576A7C7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932719"/>
        <c:axId val="1291934639"/>
      </c:barChart>
      <c:catAx>
        <c:axId val="1291932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934639"/>
        <c:crosses val="autoZero"/>
        <c:auto val="1"/>
        <c:lblAlgn val="ctr"/>
        <c:lblOffset val="100"/>
        <c:noMultiLvlLbl val="0"/>
      </c:catAx>
      <c:valAx>
        <c:axId val="129193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93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Debiased</a:t>
            </a:r>
            <a:r>
              <a:rPr lang="en-US" baseline="0"/>
              <a:t> by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BasicComp!$M$31</c:f>
              <c:strCache>
                <c:ptCount val="1"/>
                <c:pt idx="0">
                  <c:v>Dz-Ref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BasicComp!$L$32:$L$36</c:f>
              <c:strCache>
                <c:ptCount val="5"/>
                <c:pt idx="0">
                  <c:v>Average</c:v>
                </c:pt>
                <c:pt idx="1">
                  <c:v>Std</c:v>
                </c:pt>
                <c:pt idx="2">
                  <c:v>Min</c:v>
                </c:pt>
                <c:pt idx="3">
                  <c:v>Max</c:v>
                </c:pt>
                <c:pt idx="4">
                  <c:v>Spread</c:v>
                </c:pt>
              </c:strCache>
            </c:strRef>
          </c:cat>
          <c:val>
            <c:numRef>
              <c:f>BasicComp!$M$32:$M$36</c:f>
              <c:numCache>
                <c:formatCode>0.00</c:formatCode>
                <c:ptCount val="5"/>
                <c:pt idx="0">
                  <c:v>-1.9737298215558337E-16</c:v>
                </c:pt>
                <c:pt idx="1">
                  <c:v>0.1857465417653254</c:v>
                </c:pt>
                <c:pt idx="2">
                  <c:v>-0.32844444444444454</c:v>
                </c:pt>
                <c:pt idx="3">
                  <c:v>0.27955555555555534</c:v>
                </c:pt>
                <c:pt idx="4">
                  <c:v>0.60799999999999987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6-4E9C-B4C5-AB5468DCB5BE}"/>
            </c:ext>
          </c:extLst>
        </c:ser>
        <c:ser>
          <c:idx val="1"/>
          <c:order val="1"/>
          <c:tx>
            <c:strRef>
              <c:f>BasicComp!$N$31</c:f>
              <c:strCache>
                <c:ptCount val="1"/>
                <c:pt idx="0">
                  <c:v>Dz-RO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BasicComp!$L$32:$L$36</c:f>
              <c:strCache>
                <c:ptCount val="5"/>
                <c:pt idx="0">
                  <c:v>Average</c:v>
                </c:pt>
                <c:pt idx="1">
                  <c:v>Std</c:v>
                </c:pt>
                <c:pt idx="2">
                  <c:v>Min</c:v>
                </c:pt>
                <c:pt idx="3">
                  <c:v>Max</c:v>
                </c:pt>
                <c:pt idx="4">
                  <c:v>Spread</c:v>
                </c:pt>
              </c:strCache>
            </c:strRef>
          </c:cat>
          <c:val>
            <c:numRef>
              <c:f>BasicComp!$N$32:$N$36</c:f>
              <c:numCache>
                <c:formatCode>0.00</c:formatCode>
                <c:ptCount val="5"/>
                <c:pt idx="0">
                  <c:v>2.4671622769447924E-16</c:v>
                </c:pt>
                <c:pt idx="1">
                  <c:v>0.1771574158763895</c:v>
                </c:pt>
                <c:pt idx="2">
                  <c:v>-0.2799999999999998</c:v>
                </c:pt>
                <c:pt idx="3">
                  <c:v>0.26400000000000023</c:v>
                </c:pt>
                <c:pt idx="4">
                  <c:v>0.54400000000000004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96-4E9C-B4C5-AB5468DCB5BE}"/>
            </c:ext>
          </c:extLst>
        </c:ser>
        <c:ser>
          <c:idx val="2"/>
          <c:order val="2"/>
          <c:tx>
            <c:strRef>
              <c:f>BasicComp!$O$31</c:f>
              <c:strCache>
                <c:ptCount val="1"/>
                <c:pt idx="0">
                  <c:v>Dz-RONF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BasicComp!$L$32:$L$36</c:f>
              <c:strCache>
                <c:ptCount val="5"/>
                <c:pt idx="0">
                  <c:v>Average</c:v>
                </c:pt>
                <c:pt idx="1">
                  <c:v>Std</c:v>
                </c:pt>
                <c:pt idx="2">
                  <c:v>Min</c:v>
                </c:pt>
                <c:pt idx="3">
                  <c:v>Max</c:v>
                </c:pt>
                <c:pt idx="4">
                  <c:v>Spread</c:v>
                </c:pt>
              </c:strCache>
            </c:strRef>
          </c:cat>
          <c:val>
            <c:numRef>
              <c:f>BasicComp!$O$32:$O$36</c:f>
              <c:numCache>
                <c:formatCode>0.00</c:formatCode>
                <c:ptCount val="5"/>
                <c:pt idx="0">
                  <c:v>2.4671622769447924E-16</c:v>
                </c:pt>
                <c:pt idx="1">
                  <c:v>0.17587929888926038</c:v>
                </c:pt>
                <c:pt idx="2">
                  <c:v>-0.25255555555555542</c:v>
                </c:pt>
                <c:pt idx="3">
                  <c:v>0.28244444444444472</c:v>
                </c:pt>
                <c:pt idx="4">
                  <c:v>0.53500000000000014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96-4E9C-B4C5-AB5468DCB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0705615"/>
        <c:axId val="2130707055"/>
      </c:barChart>
      <c:catAx>
        <c:axId val="213070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707055"/>
        <c:crosses val="autoZero"/>
        <c:auto val="1"/>
        <c:lblAlgn val="ctr"/>
        <c:lblOffset val="100"/>
        <c:noMultiLvlLbl val="0"/>
      </c:catAx>
      <c:valAx>
        <c:axId val="213070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70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BasicComp!$M$2</c:f>
              <c:strCache>
                <c:ptCount val="1"/>
                <c:pt idx="0">
                  <c:v>Dz-Ref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BasicComp!$L$3:$L$11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BasicComp!$M$3:$M$11</c:f>
              <c:numCache>
                <c:formatCode>0.00</c:formatCode>
                <c:ptCount val="9"/>
                <c:pt idx="0">
                  <c:v>-2.3839999999999999</c:v>
                </c:pt>
                <c:pt idx="1">
                  <c:v>-2.0750000000000002</c:v>
                </c:pt>
                <c:pt idx="2">
                  <c:v>-2.194</c:v>
                </c:pt>
                <c:pt idx="3">
                  <c:v>-2.121</c:v>
                </c:pt>
                <c:pt idx="4">
                  <c:v>-2.0089999999999999</c:v>
                </c:pt>
                <c:pt idx="5">
                  <c:v>-1.776</c:v>
                </c:pt>
                <c:pt idx="6">
                  <c:v>-2.1520000000000001</c:v>
                </c:pt>
                <c:pt idx="7">
                  <c:v>-1.857</c:v>
                </c:pt>
                <c:pt idx="8">
                  <c:v>-1.9319999999999999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F8-4360-9E8A-F580741F3A7F}"/>
            </c:ext>
          </c:extLst>
        </c:ser>
        <c:ser>
          <c:idx val="1"/>
          <c:order val="1"/>
          <c:tx>
            <c:strRef>
              <c:f>BasicComp!$N$2</c:f>
              <c:strCache>
                <c:ptCount val="1"/>
                <c:pt idx="0">
                  <c:v>Dz-RO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BasicComp!$L$3:$L$11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BasicComp!$N$3:$N$11</c:f>
              <c:numCache>
                <c:formatCode>0.00</c:formatCode>
                <c:ptCount val="9"/>
                <c:pt idx="0">
                  <c:v>-2.4830000000000001</c:v>
                </c:pt>
                <c:pt idx="1">
                  <c:v>-2.1549999999999998</c:v>
                </c:pt>
                <c:pt idx="2">
                  <c:v>-2.3690000000000002</c:v>
                </c:pt>
                <c:pt idx="3">
                  <c:v>-2.3050000000000002</c:v>
                </c:pt>
                <c:pt idx="4">
                  <c:v>-2.2320000000000002</c:v>
                </c:pt>
                <c:pt idx="5">
                  <c:v>-1.9390000000000001</c:v>
                </c:pt>
                <c:pt idx="6">
                  <c:v>-2.2370000000000001</c:v>
                </c:pt>
                <c:pt idx="7">
                  <c:v>-1.964</c:v>
                </c:pt>
                <c:pt idx="8">
                  <c:v>-2.1429999999999998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8-4360-9E8A-F580741F3A7F}"/>
            </c:ext>
          </c:extLst>
        </c:ser>
        <c:ser>
          <c:idx val="2"/>
          <c:order val="2"/>
          <c:tx>
            <c:strRef>
              <c:f>BasicComp!$O$2</c:f>
              <c:strCache>
                <c:ptCount val="1"/>
                <c:pt idx="0">
                  <c:v>Dz-RONF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BasicComp!$L$3:$L$11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BasicComp!$O$3:$O$11</c:f>
              <c:numCache>
                <c:formatCode>0.00</c:formatCode>
                <c:ptCount val="9"/>
                <c:pt idx="0">
                  <c:v>-2.3540000000000001</c:v>
                </c:pt>
                <c:pt idx="1">
                  <c:v>-2.0830000000000002</c:v>
                </c:pt>
                <c:pt idx="2">
                  <c:v>-2.2799999999999998</c:v>
                </c:pt>
                <c:pt idx="3">
                  <c:v>-2.2290000000000001</c:v>
                </c:pt>
                <c:pt idx="4">
                  <c:v>-2.1459999999999999</c:v>
                </c:pt>
                <c:pt idx="5">
                  <c:v>-1.819</c:v>
                </c:pt>
                <c:pt idx="6">
                  <c:v>-2.1179999999999999</c:v>
                </c:pt>
                <c:pt idx="7">
                  <c:v>-1.9079999999999999</c:v>
                </c:pt>
                <c:pt idx="8">
                  <c:v>-1.976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8-4360-9E8A-F580741F3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724815"/>
        <c:axId val="2130724335"/>
      </c:scatterChart>
      <c:valAx>
        <c:axId val="213072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724335"/>
        <c:crosses val="autoZero"/>
        <c:crossBetween val="midCat"/>
      </c:valAx>
      <c:valAx>
        <c:axId val="2130724335"/>
        <c:scaling>
          <c:orientation val="minMax"/>
          <c:max val="-1.5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724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449578</xdr:colOff>
      <xdr:row>20</xdr:row>
      <xdr:rowOff>137156</xdr:rowOff>
    </xdr:from>
    <xdr:to>
      <xdr:col>26</xdr:col>
      <xdr:colOff>113347</xdr:colOff>
      <xdr:row>41</xdr:row>
      <xdr:rowOff>127636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2C8FD9-EE90-675E-5B44-C28C7C758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334326</xdr:colOff>
      <xdr:row>20</xdr:row>
      <xdr:rowOff>165733</xdr:rowOff>
    </xdr:from>
    <xdr:to>
      <xdr:col>22</xdr:col>
      <xdr:colOff>360042</xdr:colOff>
      <xdr:row>35</xdr:row>
      <xdr:rowOff>165733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36540-69C0-B65C-7B58-5CF870F52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242887</xdr:colOff>
      <xdr:row>0</xdr:row>
      <xdr:rowOff>112395</xdr:rowOff>
    </xdr:from>
    <xdr:to>
      <xdr:col>24</xdr:col>
      <xdr:colOff>127635</xdr:colOff>
      <xdr:row>19</xdr:row>
      <xdr:rowOff>84772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912F7E-4D53-2B73-F7B8-C6B51E005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9462-9FDE-4A9C-B46B-F719C52CAEB9}">
  <dimension ref="A1:E11"/>
  <sheetViews>
    <sheetView workbookViewId="0">
      <selection activeCell="I15" sqref="I15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2153888.4449999998</v>
      </c>
      <c r="C2">
        <v>1406965.4010000001</v>
      </c>
      <c r="D2">
        <v>1010.033</v>
      </c>
      <c r="E2" t="s">
        <v>6</v>
      </c>
    </row>
    <row r="3" spans="1:5" x14ac:dyDescent="0.45">
      <c r="A3">
        <v>0</v>
      </c>
      <c r="B3">
        <v>2146282.3659999999</v>
      </c>
      <c r="C3">
        <v>1439501.452</v>
      </c>
      <c r="D3">
        <v>1098.6310000000001</v>
      </c>
      <c r="E3" t="s">
        <v>7</v>
      </c>
    </row>
    <row r="4" spans="1:5" x14ac:dyDescent="0.45">
      <c r="A4">
        <v>1</v>
      </c>
      <c r="B4">
        <v>2146355.085</v>
      </c>
      <c r="C4">
        <v>1439265.706</v>
      </c>
      <c r="D4">
        <v>1093.8</v>
      </c>
      <c r="E4" t="s">
        <v>8</v>
      </c>
    </row>
    <row r="5" spans="1:5" x14ac:dyDescent="0.45">
      <c r="A5">
        <v>2</v>
      </c>
      <c r="B5">
        <v>2145939.5279999999</v>
      </c>
      <c r="C5">
        <v>1439329.7690000001</v>
      </c>
      <c r="D5">
        <v>1075.2249999999999</v>
      </c>
      <c r="E5" t="s">
        <v>9</v>
      </c>
    </row>
    <row r="6" spans="1:5" x14ac:dyDescent="0.45">
      <c r="A6">
        <v>3</v>
      </c>
      <c r="B6">
        <v>2145562.2740000002</v>
      </c>
      <c r="C6">
        <v>1439349.551</v>
      </c>
      <c r="D6">
        <v>1069.7840000000001</v>
      </c>
      <c r="E6" t="s">
        <v>8</v>
      </c>
    </row>
    <row r="7" spans="1:5" x14ac:dyDescent="0.45">
      <c r="A7">
        <v>4</v>
      </c>
      <c r="B7">
        <v>2145838.1970000002</v>
      </c>
      <c r="C7">
        <v>1439469.602</v>
      </c>
      <c r="D7">
        <v>1075.6400000000001</v>
      </c>
      <c r="E7" t="s">
        <v>9</v>
      </c>
    </row>
    <row r="8" spans="1:5" x14ac:dyDescent="0.45">
      <c r="A8">
        <v>5</v>
      </c>
      <c r="B8">
        <v>2145849.2179999999</v>
      </c>
      <c r="C8">
        <v>1439637.6980000001</v>
      </c>
      <c r="D8">
        <v>1075.963</v>
      </c>
      <c r="E8" t="s">
        <v>9</v>
      </c>
    </row>
    <row r="9" spans="1:5" x14ac:dyDescent="0.45">
      <c r="A9">
        <v>6</v>
      </c>
      <c r="B9">
        <v>2145547.5589999999</v>
      </c>
      <c r="C9">
        <v>1439669.398</v>
      </c>
      <c r="D9">
        <v>1061.704</v>
      </c>
      <c r="E9" t="s">
        <v>8</v>
      </c>
    </row>
    <row r="10" spans="1:5" x14ac:dyDescent="0.45">
      <c r="A10">
        <v>7</v>
      </c>
      <c r="B10">
        <v>2146024.0660000001</v>
      </c>
      <c r="C10">
        <v>1439643.8489999999</v>
      </c>
      <c r="D10">
        <v>1082.45</v>
      </c>
      <c r="E10" t="s">
        <v>8</v>
      </c>
    </row>
    <row r="11" spans="1:5" x14ac:dyDescent="0.45">
      <c r="A11">
        <v>8</v>
      </c>
      <c r="B11">
        <v>2146241.798</v>
      </c>
      <c r="C11">
        <v>1439596.673</v>
      </c>
      <c r="D11">
        <v>1098.1279999999999</v>
      </c>
      <c r="E1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225F5-0705-4D2C-8378-6FC65436E152}">
  <dimension ref="A1:M21"/>
  <sheetViews>
    <sheetView workbookViewId="0">
      <selection activeCell="A12" sqref="A12:A16"/>
    </sheetView>
  </sheetViews>
  <sheetFormatPr defaultRowHeight="14.25" x14ac:dyDescent="0.45"/>
  <cols>
    <col min="1" max="1" width="9.06640625" style="1"/>
    <col min="2" max="7" width="0" hidden="1" customWidth="1"/>
  </cols>
  <sheetData>
    <row r="1" spans="1:13" s="1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12</v>
      </c>
      <c r="G1" s="2" t="s">
        <v>14</v>
      </c>
      <c r="H1" s="2" t="s">
        <v>11</v>
      </c>
      <c r="I1" s="2" t="s">
        <v>13</v>
      </c>
      <c r="J1" s="2" t="s">
        <v>15</v>
      </c>
      <c r="K1" s="2" t="s">
        <v>16</v>
      </c>
      <c r="L1" s="2" t="s">
        <v>17</v>
      </c>
      <c r="M1" s="2" t="s">
        <v>18</v>
      </c>
    </row>
    <row r="2" spans="1:13" x14ac:dyDescent="0.45">
      <c r="A2" s="1">
        <v>0</v>
      </c>
      <c r="B2">
        <v>2146282.3659999999</v>
      </c>
      <c r="C2">
        <v>1439501.452</v>
      </c>
      <c r="D2">
        <v>1098.6310000000001</v>
      </c>
      <c r="E2">
        <v>1098.989</v>
      </c>
      <c r="F2">
        <v>1096.3309999999999</v>
      </c>
      <c r="G2">
        <v>1096.3720000000001</v>
      </c>
      <c r="H2">
        <v>0.35799999999999998</v>
      </c>
      <c r="I2">
        <v>-2.2999999999999998</v>
      </c>
      <c r="J2">
        <v>-2.2589999999999999</v>
      </c>
      <c r="K2">
        <f t="shared" ref="K2:K10" si="0">E2-F2</f>
        <v>2.6580000000001291</v>
      </c>
      <c r="L2">
        <f t="shared" ref="L2:L10" si="1">E2-G2</f>
        <v>2.6169999999999618</v>
      </c>
      <c r="M2">
        <f t="shared" ref="M2:M10" si="2">F2-G2</f>
        <v>-4.1000000000167347E-2</v>
      </c>
    </row>
    <row r="3" spans="1:13" x14ac:dyDescent="0.45">
      <c r="A3" s="1">
        <v>1</v>
      </c>
      <c r="B3">
        <v>2146355.085</v>
      </c>
      <c r="C3">
        <v>1439265.706</v>
      </c>
      <c r="D3">
        <v>1093.8</v>
      </c>
      <c r="E3">
        <v>1094.499</v>
      </c>
      <c r="F3">
        <v>1091.895</v>
      </c>
      <c r="G3">
        <v>1091.7819999999999</v>
      </c>
      <c r="H3">
        <v>0.69899999999999995</v>
      </c>
      <c r="I3">
        <v>-1.905</v>
      </c>
      <c r="J3">
        <v>-2.0179999999999998</v>
      </c>
      <c r="K3">
        <f t="shared" si="0"/>
        <v>2.6040000000000418</v>
      </c>
      <c r="L3">
        <f t="shared" si="1"/>
        <v>2.7170000000000982</v>
      </c>
      <c r="M3">
        <f t="shared" si="2"/>
        <v>0.11300000000005639</v>
      </c>
    </row>
    <row r="4" spans="1:13" x14ac:dyDescent="0.45">
      <c r="A4" s="1">
        <v>2</v>
      </c>
      <c r="B4">
        <v>2145939.5279999999</v>
      </c>
      <c r="C4">
        <v>1439329.7690000001</v>
      </c>
      <c r="D4">
        <v>1075.2249999999999</v>
      </c>
      <c r="E4">
        <v>1075.846</v>
      </c>
      <c r="F4">
        <v>1073.086</v>
      </c>
      <c r="G4">
        <v>1073.1130000000001</v>
      </c>
      <c r="H4">
        <v>0.621</v>
      </c>
      <c r="I4">
        <v>-2.1389999999999998</v>
      </c>
      <c r="J4">
        <v>-2.1110000000000002</v>
      </c>
      <c r="K4">
        <f t="shared" si="0"/>
        <v>2.7599999999999909</v>
      </c>
      <c r="L4">
        <f t="shared" si="1"/>
        <v>2.7329999999999472</v>
      </c>
      <c r="M4">
        <f t="shared" si="2"/>
        <v>-2.7000000000043656E-2</v>
      </c>
    </row>
    <row r="5" spans="1:13" x14ac:dyDescent="0.45">
      <c r="A5" s="1">
        <v>3</v>
      </c>
      <c r="B5">
        <v>2145562.2740000002</v>
      </c>
      <c r="C5">
        <v>1439349.551</v>
      </c>
      <c r="D5">
        <v>1069.7840000000001</v>
      </c>
      <c r="E5">
        <v>1070.4469999999999</v>
      </c>
      <c r="F5">
        <v>1067.693</v>
      </c>
      <c r="G5">
        <v>1067.7650000000001</v>
      </c>
      <c r="H5">
        <v>0.66300000000000003</v>
      </c>
      <c r="I5">
        <v>-2.0910000000000002</v>
      </c>
      <c r="J5">
        <v>-2.0190000000000001</v>
      </c>
      <c r="K5">
        <f t="shared" si="0"/>
        <v>2.7539999999999054</v>
      </c>
      <c r="L5">
        <f t="shared" si="1"/>
        <v>2.681999999999789</v>
      </c>
      <c r="M5">
        <f t="shared" si="2"/>
        <v>-7.2000000000116415E-2</v>
      </c>
    </row>
    <row r="6" spans="1:13" x14ac:dyDescent="0.45">
      <c r="A6" s="1">
        <v>4</v>
      </c>
      <c r="B6">
        <v>2145838.1970000002</v>
      </c>
      <c r="C6">
        <v>1439469.602</v>
      </c>
      <c r="D6">
        <v>1075.6400000000001</v>
      </c>
      <c r="E6">
        <v>1076.347</v>
      </c>
      <c r="F6">
        <v>1073.5920000000001</v>
      </c>
      <c r="G6">
        <v>1073.6179999999999</v>
      </c>
      <c r="H6">
        <v>0.70699999999999996</v>
      </c>
      <c r="I6">
        <v>-2.048</v>
      </c>
      <c r="J6">
        <v>-2.0219999999999998</v>
      </c>
      <c r="K6">
        <f t="shared" si="0"/>
        <v>2.7549999999998818</v>
      </c>
      <c r="L6">
        <f t="shared" si="1"/>
        <v>2.7290000000000418</v>
      </c>
      <c r="M6">
        <f t="shared" si="2"/>
        <v>-2.5999999999839929E-2</v>
      </c>
    </row>
    <row r="7" spans="1:13" x14ac:dyDescent="0.45">
      <c r="A7" s="1">
        <v>5</v>
      </c>
      <c r="B7">
        <v>2145849.2179999999</v>
      </c>
      <c r="C7">
        <v>1439637.6980000001</v>
      </c>
      <c r="D7">
        <v>1075.963</v>
      </c>
      <c r="E7">
        <v>1076.9670000000001</v>
      </c>
      <c r="F7">
        <v>1074.258</v>
      </c>
      <c r="G7">
        <v>1074.2560000000001</v>
      </c>
      <c r="H7">
        <v>1.004</v>
      </c>
      <c r="I7">
        <v>-1.7050000000000001</v>
      </c>
      <c r="J7">
        <v>-1.7070000000000001</v>
      </c>
      <c r="K7">
        <f t="shared" si="0"/>
        <v>2.70900000000006</v>
      </c>
      <c r="L7">
        <f t="shared" si="1"/>
        <v>2.7110000000000127</v>
      </c>
      <c r="M7">
        <f t="shared" si="2"/>
        <v>1.9999999999527063E-3</v>
      </c>
    </row>
    <row r="8" spans="1:13" x14ac:dyDescent="0.45">
      <c r="A8" s="1">
        <v>6</v>
      </c>
      <c r="B8">
        <v>2145547.5589999999</v>
      </c>
      <c r="C8">
        <v>1439669.398</v>
      </c>
      <c r="D8">
        <v>1061.704</v>
      </c>
      <c r="E8">
        <v>1062.367</v>
      </c>
      <c r="F8">
        <v>1059.6489999999999</v>
      </c>
      <c r="G8">
        <v>1059.6769999999999</v>
      </c>
      <c r="H8">
        <v>0.66300000000000003</v>
      </c>
      <c r="I8">
        <v>-2.0550000000000002</v>
      </c>
      <c r="J8">
        <v>-2.0270000000000001</v>
      </c>
      <c r="K8">
        <f t="shared" si="0"/>
        <v>2.7180000000000746</v>
      </c>
      <c r="L8">
        <f t="shared" si="1"/>
        <v>2.6900000000000546</v>
      </c>
      <c r="M8">
        <f t="shared" si="2"/>
        <v>-2.8000000000020009E-2</v>
      </c>
    </row>
    <row r="9" spans="1:13" x14ac:dyDescent="0.45">
      <c r="A9" s="1">
        <v>7</v>
      </c>
      <c r="B9">
        <v>2146024.0660000001</v>
      </c>
      <c r="C9">
        <v>1439643.8489999999</v>
      </c>
      <c r="D9">
        <v>1082.45</v>
      </c>
      <c r="E9">
        <v>1083.3140000000001</v>
      </c>
      <c r="F9">
        <v>1080.655</v>
      </c>
      <c r="G9">
        <v>1080.6569999999999</v>
      </c>
      <c r="H9">
        <v>0.86399999999999999</v>
      </c>
      <c r="I9">
        <v>-1.7949999999999999</v>
      </c>
      <c r="J9">
        <v>-1.794</v>
      </c>
      <c r="K9">
        <f t="shared" si="0"/>
        <v>2.6590000000001055</v>
      </c>
      <c r="L9">
        <f t="shared" si="1"/>
        <v>2.6570000000001528</v>
      </c>
      <c r="M9">
        <f t="shared" si="2"/>
        <v>-1.9999999999527063E-3</v>
      </c>
    </row>
    <row r="10" spans="1:13" x14ac:dyDescent="0.45">
      <c r="A10" s="1">
        <v>8</v>
      </c>
      <c r="B10">
        <v>2146241.798</v>
      </c>
      <c r="C10">
        <v>1439596.673</v>
      </c>
      <c r="D10">
        <v>1098.1279999999999</v>
      </c>
      <c r="E10">
        <v>1098.9090000000001</v>
      </c>
      <c r="F10">
        <v>1096.24</v>
      </c>
      <c r="G10">
        <v>1096.2570000000001</v>
      </c>
      <c r="H10">
        <v>0.78100000000000003</v>
      </c>
      <c r="I10">
        <v>-1.8879999999999999</v>
      </c>
      <c r="J10">
        <v>-1.871</v>
      </c>
      <c r="K10">
        <f t="shared" si="0"/>
        <v>2.6690000000000964</v>
      </c>
      <c r="L10">
        <f t="shared" si="1"/>
        <v>2.6520000000000437</v>
      </c>
      <c r="M10">
        <f t="shared" si="2"/>
        <v>-1.7000000000052751E-2</v>
      </c>
    </row>
    <row r="12" spans="1:13" x14ac:dyDescent="0.45">
      <c r="A12" s="1" t="s">
        <v>19</v>
      </c>
      <c r="H12">
        <f>AVERAGE(H2:H10)</f>
        <v>0.70666666666666655</v>
      </c>
      <c r="I12">
        <f t="shared" ref="I12:M12" si="3">AVERAGE(I2:I10)</f>
        <v>-1.9917777777777772</v>
      </c>
      <c r="J12">
        <f t="shared" si="3"/>
        <v>-1.9808888888888889</v>
      </c>
      <c r="K12">
        <f t="shared" si="3"/>
        <v>2.6984444444444762</v>
      </c>
      <c r="L12">
        <f t="shared" si="3"/>
        <v>2.687555555555567</v>
      </c>
      <c r="M12">
        <f t="shared" si="3"/>
        <v>-1.0888888888909301E-2</v>
      </c>
    </row>
    <row r="13" spans="1:13" x14ac:dyDescent="0.45">
      <c r="A13" s="3" t="s">
        <v>20</v>
      </c>
      <c r="B13" s="4"/>
      <c r="C13" s="4"/>
      <c r="D13" s="4"/>
      <c r="E13" s="4"/>
      <c r="F13" s="4"/>
      <c r="G13" s="4"/>
      <c r="H13" s="5">
        <f>_xlfn.STDEV.P(H2:H10)</f>
        <v>0.16715461904077561</v>
      </c>
      <c r="I13" s="5">
        <f t="shared" ref="I13:M13" si="4">_xlfn.STDEV.P(I2:I10)</f>
        <v>0.17414602925755393</v>
      </c>
      <c r="J13" s="5">
        <f t="shared" si="4"/>
        <v>0.1573880162347851</v>
      </c>
      <c r="K13" s="6">
        <f t="shared" si="4"/>
        <v>5.1149261124422307E-2</v>
      </c>
      <c r="L13" s="6">
        <f t="shared" si="4"/>
        <v>3.7136717712652041E-2</v>
      </c>
      <c r="M13" s="6">
        <f t="shared" si="4"/>
        <v>4.836537890420365E-2</v>
      </c>
    </row>
    <row r="14" spans="1:13" x14ac:dyDescent="0.45">
      <c r="A14" s="1" t="s">
        <v>21</v>
      </c>
      <c r="H14">
        <f>MIN(H2:H10)</f>
        <v>0.35799999999999998</v>
      </c>
      <c r="I14">
        <f t="shared" ref="I14:M14" si="5">MIN(I2:I10)</f>
        <v>-2.2999999999999998</v>
      </c>
      <c r="J14">
        <f t="shared" si="5"/>
        <v>-2.2589999999999999</v>
      </c>
      <c r="K14">
        <f t="shared" si="5"/>
        <v>2.6040000000000418</v>
      </c>
      <c r="L14">
        <f t="shared" si="5"/>
        <v>2.6169999999999618</v>
      </c>
      <c r="M14">
        <f t="shared" si="5"/>
        <v>-7.2000000000116415E-2</v>
      </c>
    </row>
    <row r="15" spans="1:13" x14ac:dyDescent="0.45">
      <c r="A15" s="1" t="s">
        <v>22</v>
      </c>
      <c r="H15">
        <f>MAX(H2:H10)</f>
        <v>1.004</v>
      </c>
      <c r="I15">
        <f t="shared" ref="I15:M15" si="6">MAX(I2:I10)</f>
        <v>-1.7050000000000001</v>
      </c>
      <c r="J15">
        <f t="shared" si="6"/>
        <v>-1.7070000000000001</v>
      </c>
      <c r="K15">
        <f t="shared" si="6"/>
        <v>2.7599999999999909</v>
      </c>
      <c r="L15">
        <f t="shared" si="6"/>
        <v>2.7329999999999472</v>
      </c>
      <c r="M15">
        <f t="shared" si="6"/>
        <v>0.11300000000005639</v>
      </c>
    </row>
    <row r="16" spans="1:13" x14ac:dyDescent="0.45">
      <c r="A16" s="1" t="s">
        <v>23</v>
      </c>
      <c r="H16">
        <f>H15-H14</f>
        <v>0.64600000000000002</v>
      </c>
      <c r="I16">
        <f t="shared" ref="I16:M16" si="7">I15-I14</f>
        <v>0.59499999999999975</v>
      </c>
      <c r="J16">
        <f t="shared" si="7"/>
        <v>0.55199999999999982</v>
      </c>
      <c r="K16">
        <f t="shared" si="7"/>
        <v>0.15599999999994907</v>
      </c>
      <c r="L16">
        <f t="shared" si="7"/>
        <v>0.11599999999998545</v>
      </c>
      <c r="M16">
        <f t="shared" si="7"/>
        <v>0.1850000000001728</v>
      </c>
    </row>
    <row r="18" spans="1:13" x14ac:dyDescent="0.45">
      <c r="A18" s="2" t="s">
        <v>24</v>
      </c>
      <c r="B18" s="2"/>
      <c r="C18" s="2"/>
      <c r="D18" s="2"/>
      <c r="E18" s="2"/>
      <c r="F18" s="2"/>
      <c r="G18" s="2"/>
      <c r="H18" s="2" t="s">
        <v>28</v>
      </c>
      <c r="I18" s="2"/>
      <c r="J18" s="2"/>
      <c r="K18" s="2"/>
      <c r="L18" s="2"/>
      <c r="M18" s="2"/>
    </row>
    <row r="19" spans="1:13" x14ac:dyDescent="0.45">
      <c r="A19" s="1" t="s">
        <v>25</v>
      </c>
      <c r="H19" t="s">
        <v>29</v>
      </c>
    </row>
    <row r="20" spans="1:13" x14ac:dyDescent="0.45">
      <c r="A20" s="1" t="s">
        <v>26</v>
      </c>
      <c r="H20" t="s">
        <v>30</v>
      </c>
    </row>
    <row r="21" spans="1:13" x14ac:dyDescent="0.45">
      <c r="A21" s="1" t="s">
        <v>27</v>
      </c>
      <c r="H21" t="s">
        <v>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97A5-E5DC-4CF9-A33F-1667A21DAF6B}">
  <dimension ref="A1:O36"/>
  <sheetViews>
    <sheetView tabSelected="1" workbookViewId="0">
      <selection activeCell="Q42" sqref="Q42"/>
    </sheetView>
  </sheetViews>
  <sheetFormatPr defaultRowHeight="14.25" x14ac:dyDescent="0.45"/>
  <cols>
    <col min="2" max="3" width="11.73046875" bestFit="1" customWidth="1"/>
    <col min="4" max="4" width="8.73046875" bestFit="1" customWidth="1"/>
    <col min="5" max="5" width="10.265625" bestFit="1" customWidth="1"/>
    <col min="6" max="6" width="9.19921875" bestFit="1" customWidth="1"/>
    <col min="7" max="7" width="10.265625" bestFit="1" customWidth="1"/>
    <col min="8" max="8" width="9.19921875" bestFit="1" customWidth="1"/>
    <col min="9" max="9" width="10.265625" bestFit="1" customWidth="1"/>
    <col min="10" max="10" width="9.19921875" bestFit="1" customWidth="1"/>
  </cols>
  <sheetData>
    <row r="1" spans="1:15" s="1" customFormat="1" x14ac:dyDescent="0.45">
      <c r="A1" s="8"/>
      <c r="B1" s="8"/>
      <c r="C1" s="8"/>
      <c r="D1" s="8"/>
      <c r="E1" s="12" t="s">
        <v>34</v>
      </c>
      <c r="F1" s="10"/>
      <c r="G1" s="9" t="s">
        <v>35</v>
      </c>
      <c r="H1" s="9"/>
      <c r="I1" s="12" t="s">
        <v>38</v>
      </c>
      <c r="J1" s="9"/>
    </row>
    <row r="2" spans="1:15" s="1" customFormat="1" ht="14.65" thickBot="1" x14ac:dyDescent="0.5">
      <c r="A2" s="7" t="s">
        <v>0</v>
      </c>
      <c r="B2" s="7" t="s">
        <v>1</v>
      </c>
      <c r="C2" s="7" t="s">
        <v>2</v>
      </c>
      <c r="D2" s="7" t="s">
        <v>3</v>
      </c>
      <c r="E2" s="13" t="s">
        <v>32</v>
      </c>
      <c r="F2" s="11" t="s">
        <v>33</v>
      </c>
      <c r="G2" s="7" t="s">
        <v>32</v>
      </c>
      <c r="H2" s="7" t="s">
        <v>33</v>
      </c>
      <c r="I2" s="7" t="s">
        <v>32</v>
      </c>
      <c r="J2" s="7" t="s">
        <v>33</v>
      </c>
      <c r="K2" s="16" t="s">
        <v>41</v>
      </c>
      <c r="L2" s="7" t="s">
        <v>0</v>
      </c>
      <c r="M2" s="7" t="s">
        <v>36</v>
      </c>
      <c r="N2" s="7" t="s">
        <v>37</v>
      </c>
      <c r="O2" s="7" t="s">
        <v>39</v>
      </c>
    </row>
    <row r="3" spans="1:15" x14ac:dyDescent="0.45">
      <c r="A3" s="1">
        <v>0</v>
      </c>
      <c r="B3" s="1">
        <v>2146282.3659999999</v>
      </c>
      <c r="C3" s="1">
        <v>1439501.452</v>
      </c>
      <c r="D3" s="1">
        <v>1098.6310000000001</v>
      </c>
      <c r="E3" s="14">
        <v>1096.2470000000001</v>
      </c>
      <c r="F3" s="15">
        <v>-2.3839999999999999</v>
      </c>
      <c r="G3" s="14">
        <v>1096.1479999999999</v>
      </c>
      <c r="H3" s="15">
        <v>-2.4830000000000001</v>
      </c>
      <c r="I3" s="14">
        <v>1096.2760000000001</v>
      </c>
      <c r="J3" s="15">
        <v>-2.3540000000000001</v>
      </c>
      <c r="K3" s="16"/>
      <c r="L3" s="1">
        <v>0</v>
      </c>
      <c r="M3" s="14">
        <f>F3</f>
        <v>-2.3839999999999999</v>
      </c>
      <c r="N3" s="14">
        <f>H3</f>
        <v>-2.4830000000000001</v>
      </c>
      <c r="O3" s="14">
        <f>J3</f>
        <v>-2.3540000000000001</v>
      </c>
    </row>
    <row r="4" spans="1:15" x14ac:dyDescent="0.45">
      <c r="A4" s="1">
        <v>1</v>
      </c>
      <c r="B4" s="1">
        <v>2146355.085</v>
      </c>
      <c r="C4" s="1">
        <v>1439265.706</v>
      </c>
      <c r="D4" s="1">
        <v>1093.8</v>
      </c>
      <c r="E4" s="14">
        <v>1091.7260000000001</v>
      </c>
      <c r="F4" s="15">
        <v>-2.0750000000000002</v>
      </c>
      <c r="G4" s="14">
        <v>1091.645</v>
      </c>
      <c r="H4" s="15">
        <v>-2.1549999999999998</v>
      </c>
      <c r="I4" s="14">
        <v>1091.7159999999999</v>
      </c>
      <c r="J4" s="15">
        <v>-2.0830000000000002</v>
      </c>
      <c r="K4" s="16"/>
      <c r="L4" s="1">
        <v>1</v>
      </c>
      <c r="M4" s="14">
        <f t="shared" ref="M4:M11" si="0">F4</f>
        <v>-2.0750000000000002</v>
      </c>
      <c r="N4" s="14">
        <f t="shared" ref="N4:N11" si="1">H4</f>
        <v>-2.1549999999999998</v>
      </c>
      <c r="O4" s="14">
        <f t="shared" ref="O4:O11" si="2">J4</f>
        <v>-2.0830000000000002</v>
      </c>
    </row>
    <row r="5" spans="1:15" x14ac:dyDescent="0.45">
      <c r="A5" s="1">
        <v>2</v>
      </c>
      <c r="B5" s="1">
        <v>2145939.5279999999</v>
      </c>
      <c r="C5" s="1">
        <v>1439329.7690000001</v>
      </c>
      <c r="D5" s="1">
        <v>1075.2249999999999</v>
      </c>
      <c r="E5" s="14">
        <v>1073.0309999999999</v>
      </c>
      <c r="F5" s="15">
        <v>-2.194</v>
      </c>
      <c r="G5" s="14">
        <v>1072.856</v>
      </c>
      <c r="H5" s="15">
        <v>-2.3690000000000002</v>
      </c>
      <c r="I5" s="14">
        <v>1072.9449999999999</v>
      </c>
      <c r="J5" s="15">
        <v>-2.2799999999999998</v>
      </c>
      <c r="K5" s="16"/>
      <c r="L5" s="1">
        <v>2</v>
      </c>
      <c r="M5" s="14">
        <f t="shared" si="0"/>
        <v>-2.194</v>
      </c>
      <c r="N5" s="14">
        <f t="shared" si="1"/>
        <v>-2.3690000000000002</v>
      </c>
      <c r="O5" s="14">
        <f t="shared" si="2"/>
        <v>-2.2799999999999998</v>
      </c>
    </row>
    <row r="6" spans="1:15" x14ac:dyDescent="0.45">
      <c r="A6" s="1">
        <v>3</v>
      </c>
      <c r="B6" s="1">
        <v>2145562.2740000002</v>
      </c>
      <c r="C6" s="1">
        <v>1439349.551</v>
      </c>
      <c r="D6" s="1">
        <v>1069.7840000000001</v>
      </c>
      <c r="E6" s="14">
        <v>1067.663</v>
      </c>
      <c r="F6" s="15">
        <v>-2.121</v>
      </c>
      <c r="G6" s="14">
        <v>1067.4780000000001</v>
      </c>
      <c r="H6" s="15">
        <v>-2.3050000000000002</v>
      </c>
      <c r="I6" s="14">
        <v>1067.5540000000001</v>
      </c>
      <c r="J6" s="15">
        <v>-2.2290000000000001</v>
      </c>
      <c r="K6" s="16"/>
      <c r="L6" s="1">
        <v>3</v>
      </c>
      <c r="M6" s="14">
        <f t="shared" si="0"/>
        <v>-2.121</v>
      </c>
      <c r="N6" s="14">
        <f t="shared" si="1"/>
        <v>-2.3050000000000002</v>
      </c>
      <c r="O6" s="14">
        <f t="shared" si="2"/>
        <v>-2.2290000000000001</v>
      </c>
    </row>
    <row r="7" spans="1:15" x14ac:dyDescent="0.45">
      <c r="A7" s="1">
        <v>4</v>
      </c>
      <c r="B7" s="1">
        <v>2145838.1970000002</v>
      </c>
      <c r="C7" s="1">
        <v>1439469.602</v>
      </c>
      <c r="D7" s="1">
        <v>1075.6400000000001</v>
      </c>
      <c r="E7" s="14">
        <v>1073.6310000000001</v>
      </c>
      <c r="F7" s="15">
        <v>-2.0089999999999999</v>
      </c>
      <c r="G7" s="14">
        <v>1073.4079999999999</v>
      </c>
      <c r="H7" s="15">
        <v>-2.2320000000000002</v>
      </c>
      <c r="I7" s="14">
        <v>1073.4939999999999</v>
      </c>
      <c r="J7" s="15">
        <v>-2.1459999999999999</v>
      </c>
      <c r="K7" s="16"/>
      <c r="L7" s="1">
        <v>4</v>
      </c>
      <c r="M7" s="14">
        <f t="shared" si="0"/>
        <v>-2.0089999999999999</v>
      </c>
      <c r="N7" s="14">
        <f t="shared" si="1"/>
        <v>-2.2320000000000002</v>
      </c>
      <c r="O7" s="14">
        <f t="shared" si="2"/>
        <v>-2.1459999999999999</v>
      </c>
    </row>
    <row r="8" spans="1:15" x14ac:dyDescent="0.45">
      <c r="A8" s="1">
        <v>5</v>
      </c>
      <c r="B8" s="1">
        <v>2145849.2179999999</v>
      </c>
      <c r="C8" s="1">
        <v>1439637.6980000001</v>
      </c>
      <c r="D8" s="1">
        <v>1075.963</v>
      </c>
      <c r="E8" s="14">
        <v>1074.1869999999999</v>
      </c>
      <c r="F8" s="15">
        <v>-1.776</v>
      </c>
      <c r="G8" s="14">
        <v>1074.0239999999999</v>
      </c>
      <c r="H8" s="15">
        <v>-1.9390000000000001</v>
      </c>
      <c r="I8" s="14">
        <v>1074.144</v>
      </c>
      <c r="J8" s="15">
        <v>-1.819</v>
      </c>
      <c r="K8" s="16"/>
      <c r="L8" s="1">
        <v>5</v>
      </c>
      <c r="M8" s="14">
        <f t="shared" si="0"/>
        <v>-1.776</v>
      </c>
      <c r="N8" s="14">
        <f t="shared" si="1"/>
        <v>-1.9390000000000001</v>
      </c>
      <c r="O8" s="14">
        <f t="shared" si="2"/>
        <v>-1.819</v>
      </c>
    </row>
    <row r="9" spans="1:15" x14ac:dyDescent="0.45">
      <c r="A9" s="1">
        <v>6</v>
      </c>
      <c r="B9" s="1">
        <v>2145547.5589999999</v>
      </c>
      <c r="C9" s="1">
        <v>1439669.398</v>
      </c>
      <c r="D9" s="1">
        <v>1061.704</v>
      </c>
      <c r="E9" s="14">
        <v>1059.5519999999999</v>
      </c>
      <c r="F9" s="15">
        <v>-2.1520000000000001</v>
      </c>
      <c r="G9" s="14">
        <v>1059.4659999999999</v>
      </c>
      <c r="H9" s="15">
        <v>-2.2370000000000001</v>
      </c>
      <c r="I9" s="14">
        <v>1059.586</v>
      </c>
      <c r="J9" s="15">
        <v>-2.1179999999999999</v>
      </c>
      <c r="K9" s="16"/>
      <c r="L9" s="1">
        <v>6</v>
      </c>
      <c r="M9" s="14">
        <f t="shared" si="0"/>
        <v>-2.1520000000000001</v>
      </c>
      <c r="N9" s="14">
        <f t="shared" si="1"/>
        <v>-2.2370000000000001</v>
      </c>
      <c r="O9" s="14">
        <f t="shared" si="2"/>
        <v>-2.1179999999999999</v>
      </c>
    </row>
    <row r="10" spans="1:15" x14ac:dyDescent="0.45">
      <c r="A10" s="1">
        <v>7</v>
      </c>
      <c r="B10" s="1">
        <v>2146024.0660000001</v>
      </c>
      <c r="C10" s="1">
        <v>1439643.8489999999</v>
      </c>
      <c r="D10" s="1">
        <v>1082.45</v>
      </c>
      <c r="E10" s="14">
        <v>1080.5930000000001</v>
      </c>
      <c r="F10" s="15">
        <v>-1.857</v>
      </c>
      <c r="G10" s="14">
        <v>1080.4860000000001</v>
      </c>
      <c r="H10" s="15">
        <v>-1.964</v>
      </c>
      <c r="I10" s="14">
        <v>1080.5419999999999</v>
      </c>
      <c r="J10" s="15">
        <v>-1.9079999999999999</v>
      </c>
      <c r="K10" s="16"/>
      <c r="L10" s="1">
        <v>7</v>
      </c>
      <c r="M10" s="14">
        <f t="shared" si="0"/>
        <v>-1.857</v>
      </c>
      <c r="N10" s="14">
        <f t="shared" si="1"/>
        <v>-1.964</v>
      </c>
      <c r="O10" s="14">
        <f t="shared" si="2"/>
        <v>-1.9079999999999999</v>
      </c>
    </row>
    <row r="11" spans="1:15" x14ac:dyDescent="0.45">
      <c r="A11" s="1">
        <v>8</v>
      </c>
      <c r="B11" s="1">
        <v>2146241.798</v>
      </c>
      <c r="C11" s="1">
        <v>1439596.673</v>
      </c>
      <c r="D11" s="1">
        <v>1098.1279999999999</v>
      </c>
      <c r="E11" s="14">
        <v>1096.1959999999999</v>
      </c>
      <c r="F11" s="15">
        <v>-1.9319999999999999</v>
      </c>
      <c r="G11" s="14">
        <v>1095.9849999999999</v>
      </c>
      <c r="H11" s="15">
        <v>-2.1429999999999998</v>
      </c>
      <c r="I11" s="14">
        <v>1096.1510000000001</v>
      </c>
      <c r="J11" s="15">
        <v>-1.976</v>
      </c>
      <c r="K11" s="16"/>
      <c r="L11" s="1">
        <v>8</v>
      </c>
      <c r="M11" s="14">
        <f t="shared" si="0"/>
        <v>-1.9319999999999999</v>
      </c>
      <c r="N11" s="14">
        <f t="shared" si="1"/>
        <v>-2.1429999999999998</v>
      </c>
      <c r="O11" s="14">
        <f t="shared" si="2"/>
        <v>-1.976</v>
      </c>
    </row>
    <row r="12" spans="1:15" ht="14.65" thickBot="1" x14ac:dyDescent="0.5">
      <c r="E12" s="14"/>
      <c r="F12" s="14"/>
      <c r="G12" s="14"/>
      <c r="H12" s="14"/>
      <c r="I12" s="14"/>
      <c r="J12" s="14"/>
      <c r="K12" s="16"/>
      <c r="L12" s="7" t="s">
        <v>40</v>
      </c>
      <c r="M12" s="7" t="s">
        <v>36</v>
      </c>
      <c r="N12" s="7" t="s">
        <v>37</v>
      </c>
      <c r="O12" s="7" t="s">
        <v>39</v>
      </c>
    </row>
    <row r="13" spans="1:15" x14ac:dyDescent="0.45">
      <c r="A13" s="1" t="s">
        <v>19</v>
      </c>
      <c r="E13" s="14"/>
      <c r="F13" s="15">
        <f>AVERAGE(F3:F11)</f>
        <v>-2.0555555555555554</v>
      </c>
      <c r="G13" s="15"/>
      <c r="H13" s="15">
        <f t="shared" ref="G13:J13" si="3">AVERAGE(H3:H11)</f>
        <v>-2.2030000000000003</v>
      </c>
      <c r="I13" s="15"/>
      <c r="J13" s="15">
        <f t="shared" si="3"/>
        <v>-2.1014444444444447</v>
      </c>
      <c r="K13" s="16"/>
      <c r="L13" s="1" t="s">
        <v>19</v>
      </c>
      <c r="M13" s="15">
        <f t="shared" ref="K13:O13" si="4">AVERAGE(M3:M11)</f>
        <v>-2.0555555555555554</v>
      </c>
      <c r="N13" s="15">
        <f t="shared" si="4"/>
        <v>-2.2030000000000003</v>
      </c>
      <c r="O13" s="15">
        <f t="shared" si="4"/>
        <v>-2.1014444444444447</v>
      </c>
    </row>
    <row r="14" spans="1:15" x14ac:dyDescent="0.45">
      <c r="A14" s="3" t="s">
        <v>20</v>
      </c>
      <c r="E14" s="14"/>
      <c r="F14" s="15">
        <f>_xlfn.STDEV.S(F3:F11)</f>
        <v>0.1857465417653254</v>
      </c>
      <c r="G14" s="15"/>
      <c r="H14" s="15">
        <f t="shared" ref="G14:J14" si="5">_xlfn.STDEV.S(H3:H11)</f>
        <v>0.1771574158763895</v>
      </c>
      <c r="I14" s="15"/>
      <c r="J14" s="15">
        <f t="shared" si="5"/>
        <v>0.17587929888926038</v>
      </c>
      <c r="K14" s="16"/>
      <c r="L14" s="3" t="s">
        <v>20</v>
      </c>
      <c r="M14" s="15">
        <f t="shared" ref="K14:O14" si="6">_xlfn.STDEV.S(M3:M11)</f>
        <v>0.1857465417653254</v>
      </c>
      <c r="N14" s="15">
        <f t="shared" si="6"/>
        <v>0.1771574158763895</v>
      </c>
      <c r="O14" s="15">
        <f t="shared" si="6"/>
        <v>0.17587929888926038</v>
      </c>
    </row>
    <row r="15" spans="1:15" x14ac:dyDescent="0.45">
      <c r="A15" s="1" t="s">
        <v>21</v>
      </c>
      <c r="E15" s="14"/>
      <c r="F15" s="15">
        <f>MIN(F3:F11)</f>
        <v>-2.3839999999999999</v>
      </c>
      <c r="G15" s="15"/>
      <c r="H15" s="15">
        <f t="shared" ref="G15:J15" si="7">MIN(H3:H11)</f>
        <v>-2.4830000000000001</v>
      </c>
      <c r="I15" s="15"/>
      <c r="J15" s="15">
        <f t="shared" si="7"/>
        <v>-2.3540000000000001</v>
      </c>
      <c r="K15" s="16"/>
      <c r="L15" s="1" t="s">
        <v>21</v>
      </c>
      <c r="M15" s="15">
        <f t="shared" ref="K15:O15" si="8">MIN(M3:M11)</f>
        <v>-2.3839999999999999</v>
      </c>
      <c r="N15" s="15">
        <f t="shared" si="8"/>
        <v>-2.4830000000000001</v>
      </c>
      <c r="O15" s="15">
        <f t="shared" si="8"/>
        <v>-2.3540000000000001</v>
      </c>
    </row>
    <row r="16" spans="1:15" x14ac:dyDescent="0.45">
      <c r="A16" s="1" t="s">
        <v>22</v>
      </c>
      <c r="E16" s="14"/>
      <c r="F16" s="15">
        <f>MAX(F3:F11)</f>
        <v>-1.776</v>
      </c>
      <c r="G16" s="15"/>
      <c r="H16" s="15">
        <f t="shared" ref="G16:J16" si="9">MAX(H3:H11)</f>
        <v>-1.9390000000000001</v>
      </c>
      <c r="I16" s="15"/>
      <c r="J16" s="15">
        <f t="shared" si="9"/>
        <v>-1.819</v>
      </c>
      <c r="K16" s="16"/>
      <c r="L16" s="1" t="s">
        <v>22</v>
      </c>
      <c r="M16" s="15">
        <f t="shared" ref="K16:O16" si="10">MAX(M3:M11)</f>
        <v>-1.776</v>
      </c>
      <c r="N16" s="15">
        <f t="shared" si="10"/>
        <v>-1.9390000000000001</v>
      </c>
      <c r="O16" s="15">
        <f t="shared" si="10"/>
        <v>-1.819</v>
      </c>
    </row>
    <row r="17" spans="1:15" x14ac:dyDescent="0.45">
      <c r="A17" s="1" t="s">
        <v>23</v>
      </c>
      <c r="E17" s="14"/>
      <c r="F17" s="15">
        <f>F16-F15</f>
        <v>0.60799999999999987</v>
      </c>
      <c r="G17" s="15"/>
      <c r="H17" s="15">
        <f t="shared" ref="G17:J17" si="11">H16-H15</f>
        <v>0.54400000000000004</v>
      </c>
      <c r="I17" s="15"/>
      <c r="J17" s="15">
        <f t="shared" si="11"/>
        <v>0.53500000000000014</v>
      </c>
      <c r="K17" s="16"/>
      <c r="L17" s="1" t="s">
        <v>23</v>
      </c>
      <c r="M17" s="15">
        <f>M16-M15</f>
        <v>0.60799999999999987</v>
      </c>
      <c r="N17" s="15">
        <f t="shared" ref="N17" si="12">N16-N15</f>
        <v>0.54400000000000004</v>
      </c>
      <c r="O17" s="15">
        <f t="shared" ref="O17" si="13">O16-O15</f>
        <v>0.53500000000000014</v>
      </c>
    </row>
    <row r="21" spans="1:15" ht="14.65" thickBot="1" x14ac:dyDescent="0.5">
      <c r="K21" s="16" t="s">
        <v>42</v>
      </c>
      <c r="L21" s="7" t="s">
        <v>0</v>
      </c>
      <c r="M21" s="7" t="s">
        <v>36</v>
      </c>
      <c r="N21" s="7" t="s">
        <v>37</v>
      </c>
      <c r="O21" s="7" t="s">
        <v>39</v>
      </c>
    </row>
    <row r="22" spans="1:15" x14ac:dyDescent="0.45">
      <c r="K22" s="16"/>
      <c r="L22" s="1">
        <v>0</v>
      </c>
      <c r="M22" s="14">
        <f>M3-M$13</f>
        <v>-0.32844444444444454</v>
      </c>
      <c r="N22" s="14">
        <f t="shared" ref="N22:O22" si="14">N3-N$13</f>
        <v>-0.2799999999999998</v>
      </c>
      <c r="O22" s="14">
        <f t="shared" si="14"/>
        <v>-0.25255555555555542</v>
      </c>
    </row>
    <row r="23" spans="1:15" x14ac:dyDescent="0.45">
      <c r="K23" s="16"/>
      <c r="L23" s="1">
        <v>1</v>
      </c>
      <c r="M23" s="14">
        <f t="shared" ref="M23:O30" si="15">M4-M$13</f>
        <v>-1.9444444444444819E-2</v>
      </c>
      <c r="N23" s="14">
        <f t="shared" si="15"/>
        <v>4.8000000000000487E-2</v>
      </c>
      <c r="O23" s="14">
        <f t="shared" si="15"/>
        <v>1.8444444444444485E-2</v>
      </c>
    </row>
    <row r="24" spans="1:15" x14ac:dyDescent="0.45">
      <c r="K24" s="16"/>
      <c r="L24" s="1">
        <v>2</v>
      </c>
      <c r="M24" s="14">
        <f t="shared" si="15"/>
        <v>-0.13844444444444459</v>
      </c>
      <c r="N24" s="14">
        <f t="shared" si="15"/>
        <v>-0.16599999999999993</v>
      </c>
      <c r="O24" s="14">
        <f t="shared" si="15"/>
        <v>-0.17855555555555513</v>
      </c>
    </row>
    <row r="25" spans="1:15" x14ac:dyDescent="0.45">
      <c r="K25" s="16"/>
      <c r="L25" s="1">
        <v>3</v>
      </c>
      <c r="M25" s="14">
        <f t="shared" si="15"/>
        <v>-6.5444444444444638E-2</v>
      </c>
      <c r="N25" s="14">
        <f t="shared" si="15"/>
        <v>-0.10199999999999987</v>
      </c>
      <c r="O25" s="14">
        <f t="shared" si="15"/>
        <v>-0.12755555555555542</v>
      </c>
    </row>
    <row r="26" spans="1:15" x14ac:dyDescent="0.45">
      <c r="K26" s="16"/>
      <c r="L26" s="1">
        <v>4</v>
      </c>
      <c r="M26" s="14">
        <f t="shared" si="15"/>
        <v>4.6555555555555461E-2</v>
      </c>
      <c r="N26" s="14">
        <f t="shared" si="15"/>
        <v>-2.8999999999999915E-2</v>
      </c>
      <c r="O26" s="14">
        <f t="shared" si="15"/>
        <v>-4.4555555555555237E-2</v>
      </c>
    </row>
    <row r="27" spans="1:15" x14ac:dyDescent="0.45">
      <c r="K27" s="16"/>
      <c r="L27" s="1">
        <v>5</v>
      </c>
      <c r="M27" s="14">
        <f t="shared" si="15"/>
        <v>0.27955555555555534</v>
      </c>
      <c r="N27" s="14">
        <f t="shared" si="15"/>
        <v>0.26400000000000023</v>
      </c>
      <c r="O27" s="14">
        <f t="shared" si="15"/>
        <v>0.28244444444444472</v>
      </c>
    </row>
    <row r="28" spans="1:15" x14ac:dyDescent="0.45">
      <c r="K28" s="16"/>
      <c r="L28" s="1">
        <v>6</v>
      </c>
      <c r="M28" s="14">
        <f t="shared" si="15"/>
        <v>-9.6444444444444777E-2</v>
      </c>
      <c r="N28" s="14">
        <f t="shared" si="15"/>
        <v>-3.3999999999999808E-2</v>
      </c>
      <c r="O28" s="14">
        <f t="shared" si="15"/>
        <v>-1.6555555555555213E-2</v>
      </c>
    </row>
    <row r="29" spans="1:15" x14ac:dyDescent="0.45">
      <c r="K29" s="16"/>
      <c r="L29" s="1">
        <v>7</v>
      </c>
      <c r="M29" s="14">
        <f t="shared" si="15"/>
        <v>0.19855555555555537</v>
      </c>
      <c r="N29" s="14">
        <f t="shared" si="15"/>
        <v>0.23900000000000032</v>
      </c>
      <c r="O29" s="14">
        <f t="shared" si="15"/>
        <v>0.19344444444444475</v>
      </c>
    </row>
    <row r="30" spans="1:15" x14ac:dyDescent="0.45">
      <c r="K30" s="16"/>
      <c r="L30" s="1">
        <v>8</v>
      </c>
      <c r="M30" s="14">
        <f t="shared" si="15"/>
        <v>0.12355555555555542</v>
      </c>
      <c r="N30" s="14">
        <f t="shared" si="15"/>
        <v>6.0000000000000497E-2</v>
      </c>
      <c r="O30" s="14">
        <f t="shared" si="15"/>
        <v>0.12544444444444469</v>
      </c>
    </row>
    <row r="31" spans="1:15" ht="14.65" thickBot="1" x14ac:dyDescent="0.5">
      <c r="K31" s="16"/>
      <c r="L31" s="7" t="s">
        <v>40</v>
      </c>
      <c r="M31" s="7" t="s">
        <v>36</v>
      </c>
      <c r="N31" s="7" t="s">
        <v>37</v>
      </c>
      <c r="O31" s="7" t="s">
        <v>39</v>
      </c>
    </row>
    <row r="32" spans="1:15" x14ac:dyDescent="0.45">
      <c r="K32" s="16"/>
      <c r="L32" s="1" t="s">
        <v>19</v>
      </c>
      <c r="M32" s="14">
        <f>AVERAGE(M22:M30)</f>
        <v>-1.9737298215558337E-16</v>
      </c>
      <c r="N32" s="14">
        <f t="shared" ref="N32:O32" si="16">AVERAGE(N22:N30)</f>
        <v>2.4671622769447924E-16</v>
      </c>
      <c r="O32" s="14">
        <f t="shared" si="16"/>
        <v>2.4671622769447924E-16</v>
      </c>
    </row>
    <row r="33" spans="11:15" x14ac:dyDescent="0.45">
      <c r="K33" s="16"/>
      <c r="L33" s="3" t="s">
        <v>20</v>
      </c>
      <c r="M33" s="14">
        <f>_xlfn.STDEV.S(M22:M30)</f>
        <v>0.1857465417653254</v>
      </c>
      <c r="N33" s="14">
        <f t="shared" ref="N33:O33" si="17">_xlfn.STDEV.S(N22:N30)</f>
        <v>0.1771574158763895</v>
      </c>
      <c r="O33" s="14">
        <f t="shared" si="17"/>
        <v>0.17587929888926038</v>
      </c>
    </row>
    <row r="34" spans="11:15" x14ac:dyDescent="0.45">
      <c r="K34" s="16"/>
      <c r="L34" s="1" t="s">
        <v>21</v>
      </c>
      <c r="M34" s="14">
        <f t="shared" ref="M34:O34" si="18">MIN(M22:M30)</f>
        <v>-0.32844444444444454</v>
      </c>
      <c r="N34" s="14">
        <f t="shared" si="18"/>
        <v>-0.2799999999999998</v>
      </c>
      <c r="O34" s="14">
        <f t="shared" si="18"/>
        <v>-0.25255555555555542</v>
      </c>
    </row>
    <row r="35" spans="11:15" x14ac:dyDescent="0.45">
      <c r="K35" s="16"/>
      <c r="L35" s="1" t="s">
        <v>22</v>
      </c>
      <c r="M35" s="14">
        <f t="shared" ref="M35:O35" si="19">MAX(M22:M30)</f>
        <v>0.27955555555555534</v>
      </c>
      <c r="N35" s="14">
        <f t="shared" si="19"/>
        <v>0.26400000000000023</v>
      </c>
      <c r="O35" s="14">
        <f t="shared" si="19"/>
        <v>0.28244444444444472</v>
      </c>
    </row>
    <row r="36" spans="11:15" x14ac:dyDescent="0.45">
      <c r="K36" s="16"/>
      <c r="L36" s="1" t="s">
        <v>23</v>
      </c>
      <c r="M36" s="14">
        <f>M35-M34</f>
        <v>0.60799999999999987</v>
      </c>
      <c r="N36" s="14">
        <f t="shared" ref="N36:O36" si="20">N35-N34</f>
        <v>0.54400000000000004</v>
      </c>
      <c r="O36" s="14">
        <f t="shared" si="20"/>
        <v>0.53500000000000014</v>
      </c>
    </row>
  </sheetData>
  <mergeCells count="5">
    <mergeCell ref="E1:F1"/>
    <mergeCell ref="G1:H1"/>
    <mergeCell ref="I1:J1"/>
    <mergeCell ref="K2:K17"/>
    <mergeCell ref="K21:K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Marietta Demo</vt:lpstr>
      <vt:lpstr>Sheet1</vt:lpstr>
      <vt:lpstr>BasicComp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Liu</cp:lastModifiedBy>
  <dcterms:created xsi:type="dcterms:W3CDTF">2026-04-27T20:57:21Z</dcterms:created>
  <dcterms:modified xsi:type="dcterms:W3CDTF">2026-04-28T21:23:11Z</dcterms:modified>
</cp:coreProperties>
</file>